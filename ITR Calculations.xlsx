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446901\Documents\2021 Doc\Per\Income tax\Amol\"/>
    </mc:Choice>
  </mc:AlternateContent>
  <xr:revisionPtr revIDLastSave="0" documentId="8_{39690703-D44B-40B7-AD6F-A9C475AA7901}" xr6:coauthVersionLast="47" xr6:coauthVersionMax="47" xr10:uidLastSave="{00000000-0000-0000-0000-000000000000}"/>
  <bookViews>
    <workbookView xWindow="-110" yWindow="-110" windowWidth="19420" windowHeight="10420" activeTab="4" xr2:uid="{2C7BC786-3806-405C-BDC9-66B59389C00D}"/>
  </bookViews>
  <sheets>
    <sheet name="Sheet1" sheetId="1" r:id="rId1"/>
    <sheet name="ITR Cal" sheetId="3" r:id="rId2"/>
    <sheet name="Deduction" sheetId="2" r:id="rId3"/>
    <sheet name="Sheet4" sheetId="4" r:id="rId4"/>
    <sheet name="Sheet3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L3" i="5"/>
  <c r="M3" i="5" s="1"/>
  <c r="M2" i="5"/>
  <c r="R9" i="2"/>
  <c r="R8" i="2"/>
  <c r="H2" i="2"/>
  <c r="H6" i="2"/>
  <c r="L20" i="2"/>
  <c r="N19" i="2"/>
  <c r="P16" i="2"/>
  <c r="N14" i="2"/>
  <c r="C19" i="5"/>
  <c r="G16" i="5"/>
  <c r="G17" i="5" s="1"/>
  <c r="E16" i="5"/>
  <c r="E15" i="5"/>
  <c r="D10" i="2"/>
  <c r="F15" i="2"/>
  <c r="J4" i="2"/>
  <c r="J5" i="2"/>
  <c r="E31" i="2"/>
  <c r="D3" i="2"/>
  <c r="D15" i="2"/>
  <c r="D14" i="2"/>
  <c r="J7" i="5"/>
  <c r="H7" i="5"/>
  <c r="E6" i="5"/>
  <c r="C6" i="5"/>
  <c r="M9" i="3"/>
  <c r="F9" i="3"/>
  <c r="E9" i="3"/>
  <c r="F3" i="3"/>
  <c r="J6" i="2" l="1"/>
  <c r="J8" i="2"/>
  <c r="D1" i="2"/>
  <c r="E20" i="2"/>
  <c r="E16" i="3"/>
  <c r="D21" i="3"/>
  <c r="D16" i="3"/>
  <c r="H7" i="3"/>
  <c r="B17" i="1"/>
  <c r="B13" i="1"/>
  <c r="R10" i="1"/>
  <c r="E19" i="1"/>
  <c r="C19" i="1"/>
  <c r="C16" i="1"/>
  <c r="L4" i="1"/>
  <c r="L3" i="1"/>
  <c r="L8" i="1"/>
  <c r="K8" i="1"/>
  <c r="K8" i="2" l="1"/>
  <c r="J9" i="2"/>
  <c r="M18" i="1"/>
  <c r="I20" i="1"/>
  <c r="I19" i="1"/>
  <c r="I15" i="1"/>
  <c r="E3" i="1" l="1"/>
  <c r="E5" i="1" s="1"/>
  <c r="D5" i="1"/>
  <c r="D3" i="1"/>
  <c r="D8" i="1" l="1"/>
  <c r="E8" i="1" s="1"/>
  <c r="E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tc={7C58CD6D-E4AC-4284-85B3-AD3A2F81C156}</author>
  </authors>
  <commentList>
    <comment ref="J6" authorId="0" shapeId="0" xr:uid="{7C58CD6D-E4AC-4284-85B3-AD3A2F81C156}">
      <text>
        <t>[Threaded comment]
Your version of Excel allows you to read this threaded comment; however, any edits to it will get removed if the file is opened in a newer version of Excel. Learn more: https://go.microsoft.com/fwlink/?linkid=870924
Comment:
    18000 - Phone
21600 - Fuel
10800 -Driver</t>
      </text>
    </comment>
  </commentList>
</comments>
</file>

<file path=xl/sharedStrings.xml><?xml version="1.0" encoding="utf-8"?>
<sst xmlns="http://schemas.openxmlformats.org/spreadsheetml/2006/main" count="122" uniqueCount="80">
  <si>
    <t>HRA</t>
  </si>
  <si>
    <t>LTA</t>
  </si>
  <si>
    <t>Basic</t>
  </si>
  <si>
    <t>Salary</t>
  </si>
  <si>
    <t>Calculation</t>
  </si>
  <si>
    <t xml:space="preserve"> </t>
  </si>
  <si>
    <t>IV Leave travel allowance (LTA)</t>
  </si>
  <si>
    <t>III House rent allowance (HRA</t>
  </si>
  <si>
    <t>VI Other Allowance</t>
  </si>
  <si>
    <t>VII Others</t>
  </si>
  <si>
    <t>VIII Others</t>
  </si>
  <si>
    <t>IX Others</t>
  </si>
  <si>
    <t>X Others</t>
  </si>
  <si>
    <t>V Children Education Allowance (CEA)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</si>
  <si>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</si>
  <si>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</si>
  <si>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</si>
  <si>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</si>
  <si>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</si>
  <si>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</si>
  <si>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</si>
  <si>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</si>
  <si>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</si>
  <si>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</si>
  <si>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II The Contribution made by the employer towards pension scheme as referred under
section 80CCD</t>
  </si>
  <si>
    <t>I Basic salary</t>
  </si>
  <si>
    <t>CEA</t>
  </si>
  <si>
    <t>80CCD</t>
  </si>
  <si>
    <t>2020-2021</t>
  </si>
  <si>
    <t>2021-2022</t>
  </si>
  <si>
    <t>10(14)(i)</t>
  </si>
  <si>
    <t>ITR</t>
  </si>
  <si>
    <t>2,26,512</t>
  </si>
  <si>
    <t>10-Any other
X Other + Childer Education</t>
  </si>
  <si>
    <t>80D</t>
  </si>
  <si>
    <t>80CCD(2)</t>
  </si>
  <si>
    <t>80CCD(1B)</t>
  </si>
  <si>
    <t>80TTA</t>
  </si>
  <si>
    <t>80C</t>
  </si>
  <si>
    <t>80GGC</t>
  </si>
  <si>
    <t>2,60,512</t>
  </si>
  <si>
    <t>Leave Encashment</t>
  </si>
  <si>
    <t>Phone Reimbursement</t>
  </si>
  <si>
    <t>Sec 10(13A)- HRA</t>
  </si>
  <si>
    <t>Sec 10(14)(i)-</t>
  </si>
  <si>
    <t>Sec 10(5)-</t>
  </si>
  <si>
    <t>Any Other</t>
  </si>
  <si>
    <t>Tax</t>
  </si>
  <si>
    <t>80DD</t>
  </si>
  <si>
    <t>80DDB</t>
  </si>
  <si>
    <t xml:space="preserve"> Daily allowance </t>
  </si>
  <si>
    <t xml:space="preserve"> Conveyance allowance</t>
  </si>
  <si>
    <t xml:space="preserve"> Uniform allowance</t>
  </si>
  <si>
    <t>Children Education - 100</t>
  </si>
  <si>
    <t>Child hostel expenses - 300</t>
  </si>
  <si>
    <t>Sec 10(5)-Travel concession</t>
  </si>
  <si>
    <t>Month</t>
  </si>
  <si>
    <t>Year</t>
  </si>
  <si>
    <t>Total</t>
  </si>
  <si>
    <t>Schedule VI-A</t>
  </si>
  <si>
    <t>Sec 10(10AA)-Earned leave encashment</t>
  </si>
  <si>
    <t>Taxable Income</t>
  </si>
  <si>
    <t>Other Salary Exempt Income</t>
  </si>
  <si>
    <t>Section 10(14)(ii)  2BB(2)</t>
  </si>
  <si>
    <t>Section 10(14)(i)  2BB(1)</t>
  </si>
  <si>
    <t>Travelling Allowance</t>
  </si>
  <si>
    <t xml:space="preserve"> Research allowance /Academic Allowance:</t>
  </si>
  <si>
    <t>https://www.charteredclub.com/allowances-exempt-under-section-10/</t>
  </si>
  <si>
    <t>Child</t>
  </si>
  <si>
    <t>Phone</t>
  </si>
  <si>
    <t>Driver</t>
  </si>
  <si>
    <t>Petrol</t>
  </si>
  <si>
    <t>Prof Dev</t>
  </si>
  <si>
    <t>STD</t>
  </si>
  <si>
    <t>Int</t>
  </si>
  <si>
    <t>10(14)</t>
  </si>
  <si>
    <t>2022-2023</t>
  </si>
  <si>
    <t>2,69,071</t>
  </si>
  <si>
    <t>BASIC</t>
  </si>
  <si>
    <t>HRA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</si>
</sst>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3" fontId="0" fillId="0" borderId="0" xfId="0" applyNumberFormat="1" applyAlignment="1">
      <alignment vertical="top"/>
    </xf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0" fillId="5" borderId="0" xfId="0" applyFill="1"/>
    <xf numFmtId="9" fontId="0" fillId="5" borderId="0" xfId="0" applyNumberFormat="1" applyFill="1"/>
    <xf numFmtId="0" fontId="2" fillId="0" borderId="0" xfId="0" applyFont="1"/>
    <xf numFmtId="1" fontId="0" fillId="0" borderId="0" xfId="0" applyNumberFormat="1"/>
    <xf numFmtId="1" fontId="0" fillId="5" borderId="0" xfId="0" applyNumberFormat="1" applyFill="1"/>
    <xf numFmtId="0" fontId="3" fillId="0" borderId="0" xfId="1"/>
    <xf numFmtId="4" fontId="0" fillId="0" borderId="0" xfId="0" applyNumberFormat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vali, Amol S" id="{60D9D580-F235-4064-80E6-00FBBA949366}" userId="S::AmolSGavali@eaton.com::c7517b8d-155b-407a-b050-5226cd16902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6" dT="2022-08-03T12:17:26.00" personId="{60D9D580-F235-4064-80E6-00FBBA949366}" id="{7C58CD6D-E4AC-4284-85B3-AD3A2F81C156}">
    <text>18000 - Phone
21600 - Fuel
10800 -Driver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harteredclub.com/allowances-exempt-under-section-10/" TargetMode="External"/><Relationship Id="rId1" Type="http://schemas.openxmlformats.org/officeDocument/2006/relationships/hyperlink" Target="https://www.charteredclub.com/allowances-exempt-under-section-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1071-7A2B-42E0-9CC7-2404CA779C05}">
  <dimension ref="A1:R20"/>
  <sheetViews>
    <sheetView workbookViewId="0">
      <selection activeCell="C5" sqref="C5"/>
    </sheetView>
  </sheetViews>
  <sheetFormatPr defaultRowHeight="14.5" x14ac:dyDescent="0.35"/>
  <cols>
    <col min="2" max="2" width="10" bestFit="1" customWidth="1"/>
    <col min="3" max="3" width="13.1796875" bestFit="1" customWidth="1"/>
    <col min="6" max="6" width="8.7265625" style="3"/>
    <col min="8" max="8" width="10" bestFit="1" customWidth="1"/>
  </cols>
  <sheetData>
    <row r="1" spans="1:18" x14ac:dyDescent="0.35">
      <c r="Q1">
        <v>1051632</v>
      </c>
    </row>
    <row r="2" spans="1:18" x14ac:dyDescent="0.35">
      <c r="B2" t="s">
        <v>4</v>
      </c>
      <c r="C2" t="s">
        <v>5</v>
      </c>
      <c r="D2" s="2">
        <v>0.1</v>
      </c>
      <c r="E2" s="2">
        <v>0.4</v>
      </c>
      <c r="H2" t="s">
        <v>3</v>
      </c>
      <c r="L2" s="1"/>
    </row>
    <row r="3" spans="1:18" x14ac:dyDescent="0.35">
      <c r="B3" t="s">
        <v>2</v>
      </c>
      <c r="C3">
        <v>909289</v>
      </c>
      <c r="D3">
        <f>C3*D2</f>
        <v>90928.900000000009</v>
      </c>
      <c r="E3">
        <f>C3*E2</f>
        <v>363715.60000000003</v>
      </c>
      <c r="G3" t="s">
        <v>0</v>
      </c>
      <c r="H3" s="1">
        <v>363713</v>
      </c>
      <c r="J3">
        <v>250000</v>
      </c>
      <c r="K3" s="2">
        <v>0.05</v>
      </c>
      <c r="L3">
        <f>J3*K3</f>
        <v>12500</v>
      </c>
    </row>
    <row r="4" spans="1:18" x14ac:dyDescent="0.35">
      <c r="J4">
        <v>40490</v>
      </c>
      <c r="K4" s="2">
        <v>0.2</v>
      </c>
      <c r="L4">
        <f>J4*K4</f>
        <v>8098</v>
      </c>
    </row>
    <row r="5" spans="1:18" x14ac:dyDescent="0.35">
      <c r="A5">
        <v>12</v>
      </c>
      <c r="B5" t="s">
        <v>0</v>
      </c>
      <c r="C5">
        <v>30000</v>
      </c>
      <c r="D5">
        <f>C5*A5</f>
        <v>360000</v>
      </c>
      <c r="E5">
        <f>E3*50%</f>
        <v>181857.80000000002</v>
      </c>
      <c r="G5" t="s">
        <v>1</v>
      </c>
      <c r="H5">
        <v>60000</v>
      </c>
    </row>
    <row r="6" spans="1:18" x14ac:dyDescent="0.35">
      <c r="K6" s="2"/>
    </row>
    <row r="7" spans="1:18" x14ac:dyDescent="0.35">
      <c r="J7">
        <v>540490</v>
      </c>
    </row>
    <row r="8" spans="1:18" x14ac:dyDescent="0.35">
      <c r="D8">
        <f>D5-D3</f>
        <v>269071.09999999998</v>
      </c>
      <c r="E8">
        <f>D8-191208</f>
        <v>77863.099999999977</v>
      </c>
      <c r="J8">
        <v>250000</v>
      </c>
      <c r="K8">
        <f>J7-J8</f>
        <v>290490</v>
      </c>
      <c r="L8">
        <f>K8*10%</f>
        <v>29049</v>
      </c>
    </row>
    <row r="9" spans="1:18" x14ac:dyDescent="0.35">
      <c r="E9">
        <f>E8*30%</f>
        <v>23358.929999999993</v>
      </c>
    </row>
    <row r="10" spans="1:18" x14ac:dyDescent="0.35">
      <c r="Q10">
        <v>2900</v>
      </c>
      <c r="R10">
        <f>Q10*12</f>
        <v>34800</v>
      </c>
    </row>
    <row r="13" spans="1:18" x14ac:dyDescent="0.35">
      <c r="B13">
        <f>1808284-1457952</f>
        <v>350332</v>
      </c>
    </row>
    <row r="15" spans="1:18" x14ac:dyDescent="0.35">
      <c r="I15">
        <f>15*12</f>
        <v>180</v>
      </c>
      <c r="K15">
        <v>8432</v>
      </c>
      <c r="M15">
        <v>198000</v>
      </c>
    </row>
    <row r="16" spans="1:18" x14ac:dyDescent="0.35">
      <c r="C16">
        <f>75000-29935</f>
        <v>45065</v>
      </c>
      <c r="K16">
        <v>33692</v>
      </c>
      <c r="M16">
        <v>29100</v>
      </c>
    </row>
    <row r="17" spans="2:13" x14ac:dyDescent="0.35">
      <c r="B17">
        <f>828456-90450</f>
        <v>738006</v>
      </c>
      <c r="C17">
        <v>60000</v>
      </c>
      <c r="K17">
        <v>4500</v>
      </c>
      <c r="M17">
        <v>52000</v>
      </c>
    </row>
    <row r="18" spans="2:13" x14ac:dyDescent="0.35">
      <c r="M18">
        <f>SUM(M15:M17)</f>
        <v>279100</v>
      </c>
    </row>
    <row r="19" spans="2:13" x14ac:dyDescent="0.35">
      <c r="B19" t="s">
        <v>5</v>
      </c>
      <c r="C19">
        <f>SUM(C16:C18)</f>
        <v>105065</v>
      </c>
      <c r="D19" s="2">
        <v>0.3</v>
      </c>
      <c r="E19">
        <f>C19*D19</f>
        <v>31519.5</v>
      </c>
      <c r="I19">
        <f>17000*12</f>
        <v>204000</v>
      </c>
    </row>
    <row r="20" spans="2:13" x14ac:dyDescent="0.35">
      <c r="I20">
        <f>198000/12</f>
        <v>16500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E798-349F-4EBB-BD5F-D67AE5F93137}">
  <dimension ref="A1:M28"/>
  <sheetViews>
    <sheetView workbookViewId="0">
      <selection activeCell="J10" sqref="J10"/>
    </sheetView>
  </sheetViews>
  <sheetFormatPr defaultRowHeight="14.5" x14ac:dyDescent="0.35"/>
  <cols>
    <col min="1" max="1" width="4.08984375" customWidth="1"/>
    <col min="2" max="2" width="36.08984375" customWidth="1"/>
    <col min="3" max="3" width="13.08984375" customWidth="1"/>
    <col min="4" max="4" width="12.6328125" customWidth="1"/>
    <col min="5" max="5" width="12.1796875" customWidth="1"/>
    <col min="7" max="7" width="15.6328125" customWidth="1"/>
    <col min="8" max="8" width="9.453125" bestFit="1" customWidth="1"/>
    <col min="9" max="9" width="11.81640625" customWidth="1"/>
  </cols>
  <sheetData>
    <row r="1" spans="1:13" x14ac:dyDescent="0.35">
      <c r="E1" s="1">
        <v>828456</v>
      </c>
      <c r="H1" t="s">
        <v>31</v>
      </c>
    </row>
    <row r="2" spans="1:13" ht="15.5" x14ac:dyDescent="0.35">
      <c r="D2" s="11" t="s">
        <v>28</v>
      </c>
      <c r="E2" s="11" t="s">
        <v>29</v>
      </c>
      <c r="H2" s="12" t="s">
        <v>28</v>
      </c>
      <c r="I2" s="12" t="s">
        <v>29</v>
      </c>
      <c r="J2" t="s">
        <v>76</v>
      </c>
    </row>
    <row r="3" spans="1:13" x14ac:dyDescent="0.35">
      <c r="A3" t="s">
        <v>14</v>
      </c>
      <c r="B3" t="s">
        <v>25</v>
      </c>
      <c r="C3" t="s">
        <v>2</v>
      </c>
      <c r="D3" s="6">
        <v>734957</v>
      </c>
      <c r="E3" s="7">
        <v>909289</v>
      </c>
      <c r="F3">
        <f>E3/12</f>
        <v>75774.083333333328</v>
      </c>
      <c r="L3" s="7">
        <v>909289</v>
      </c>
    </row>
    <row r="4" spans="1:13" x14ac:dyDescent="0.35">
      <c r="A4" s="5" t="s">
        <v>16</v>
      </c>
      <c r="B4" t="s">
        <v>7</v>
      </c>
      <c r="C4" t="s">
        <v>0</v>
      </c>
      <c r="D4" s="6">
        <v>293982</v>
      </c>
      <c r="E4" s="7">
        <v>363713</v>
      </c>
      <c r="G4" s="13" t="s">
        <v>0</v>
      </c>
      <c r="H4" s="6" t="s">
        <v>32</v>
      </c>
      <c r="I4" s="6" t="s">
        <v>40</v>
      </c>
      <c r="J4" s="7">
        <v>311308</v>
      </c>
      <c r="L4" s="7">
        <v>363713</v>
      </c>
    </row>
    <row r="5" spans="1:13" x14ac:dyDescent="0.35">
      <c r="A5" t="s">
        <v>17</v>
      </c>
      <c r="B5" t="s">
        <v>6</v>
      </c>
      <c r="C5" t="s">
        <v>1</v>
      </c>
      <c r="D5" s="7">
        <v>60000</v>
      </c>
      <c r="E5" s="7">
        <v>60000</v>
      </c>
      <c r="G5" s="13" t="s">
        <v>1</v>
      </c>
      <c r="H5" s="6">
        <v>60000</v>
      </c>
      <c r="I5" s="6">
        <v>60000</v>
      </c>
      <c r="J5" s="7"/>
      <c r="L5" s="7">
        <v>60000</v>
      </c>
    </row>
    <row r="6" spans="1:13" x14ac:dyDescent="0.35">
      <c r="A6" t="s">
        <v>18</v>
      </c>
      <c r="B6" t="s">
        <v>13</v>
      </c>
      <c r="C6" t="s">
        <v>26</v>
      </c>
      <c r="D6" s="7">
        <v>2400</v>
      </c>
      <c r="E6" s="7">
        <v>2413</v>
      </c>
      <c r="G6" s="13" t="s">
        <v>30</v>
      </c>
      <c r="H6" s="6">
        <v>29100</v>
      </c>
      <c r="I6" s="7">
        <v>29100</v>
      </c>
      <c r="J6" s="7">
        <v>50400</v>
      </c>
      <c r="L6" s="7">
        <v>2413</v>
      </c>
    </row>
    <row r="7" spans="1:13" ht="58" x14ac:dyDescent="0.35">
      <c r="A7" t="s">
        <v>15</v>
      </c>
      <c r="B7" s="5" t="s">
        <v>24</v>
      </c>
      <c r="C7" t="s">
        <v>27</v>
      </c>
      <c r="D7" s="7">
        <v>33692</v>
      </c>
      <c r="E7" s="7">
        <v>0</v>
      </c>
      <c r="G7" s="14" t="s">
        <v>33</v>
      </c>
      <c r="H7" s="8">
        <f>D12+D6</f>
        <v>41400</v>
      </c>
      <c r="I7" s="7">
        <v>41400</v>
      </c>
      <c r="J7" s="7">
        <v>24000</v>
      </c>
      <c r="L7" s="7">
        <v>90450</v>
      </c>
    </row>
    <row r="8" spans="1:13" x14ac:dyDescent="0.35">
      <c r="A8" t="s">
        <v>19</v>
      </c>
      <c r="B8" t="s">
        <v>8</v>
      </c>
      <c r="C8" t="s">
        <v>30</v>
      </c>
      <c r="D8" s="7">
        <v>29100</v>
      </c>
      <c r="E8" s="7">
        <v>29100</v>
      </c>
      <c r="G8" s="13" t="s">
        <v>38</v>
      </c>
      <c r="H8">
        <v>150000</v>
      </c>
      <c r="I8" s="7">
        <v>150000</v>
      </c>
      <c r="J8" s="7">
        <v>150000</v>
      </c>
      <c r="L8" s="7">
        <v>29100</v>
      </c>
    </row>
    <row r="9" spans="1:13" x14ac:dyDescent="0.35">
      <c r="A9" t="s">
        <v>20</v>
      </c>
      <c r="B9" t="s">
        <v>9</v>
      </c>
      <c r="D9" s="7">
        <v>610556</v>
      </c>
      <c r="E9" s="9">
        <f>E1-(SUM(E7,E8,E10,E11,E12))</f>
        <v>755756</v>
      </c>
      <c r="F9" s="1">
        <f>E9-90450</f>
        <v>665306</v>
      </c>
      <c r="G9" s="13" t="s">
        <v>34</v>
      </c>
      <c r="H9">
        <v>71537</v>
      </c>
      <c r="I9" s="7">
        <v>75000</v>
      </c>
      <c r="J9" s="7">
        <v>75000</v>
      </c>
      <c r="L9" s="7">
        <v>662822</v>
      </c>
      <c r="M9">
        <f>L9-2484</f>
        <v>660338</v>
      </c>
    </row>
    <row r="10" spans="1:13" x14ac:dyDescent="0.35">
      <c r="A10" t="s">
        <v>21</v>
      </c>
      <c r="B10" t="s">
        <v>10</v>
      </c>
      <c r="D10" s="7">
        <v>3100</v>
      </c>
      <c r="E10" s="7">
        <v>3100</v>
      </c>
      <c r="G10" s="13" t="s">
        <v>35</v>
      </c>
      <c r="H10">
        <v>33692</v>
      </c>
      <c r="I10" s="7">
        <v>90450</v>
      </c>
      <c r="J10" s="7"/>
      <c r="L10" s="7">
        <v>3100</v>
      </c>
    </row>
    <row r="11" spans="1:13" x14ac:dyDescent="0.35">
      <c r="A11" t="s">
        <v>22</v>
      </c>
      <c r="B11" t="s">
        <v>11</v>
      </c>
      <c r="D11" s="7">
        <v>1500</v>
      </c>
      <c r="E11" s="7">
        <v>1500</v>
      </c>
      <c r="G11" s="13" t="s">
        <v>36</v>
      </c>
      <c r="H11">
        <v>50000</v>
      </c>
      <c r="I11" s="7">
        <v>50000</v>
      </c>
      <c r="J11" s="7">
        <v>50000</v>
      </c>
      <c r="L11" s="7">
        <v>1500</v>
      </c>
    </row>
    <row r="12" spans="1:13" x14ac:dyDescent="0.35">
      <c r="A12" t="s">
        <v>23</v>
      </c>
      <c r="B12" t="s">
        <v>12</v>
      </c>
      <c r="D12" s="7">
        <v>39000</v>
      </c>
      <c r="E12" s="7">
        <v>39000</v>
      </c>
      <c r="G12" s="13" t="s">
        <v>37</v>
      </c>
      <c r="H12">
        <v>10000</v>
      </c>
      <c r="I12" s="7">
        <v>10000</v>
      </c>
      <c r="J12" s="7">
        <v>10000</v>
      </c>
      <c r="L12" s="7">
        <v>39000</v>
      </c>
    </row>
    <row r="13" spans="1:13" x14ac:dyDescent="0.35">
      <c r="B13" t="s">
        <v>41</v>
      </c>
      <c r="C13" t="s">
        <v>5</v>
      </c>
      <c r="D13" s="4">
        <v>0</v>
      </c>
      <c r="E13" s="7">
        <v>2484</v>
      </c>
      <c r="G13" s="13" t="s">
        <v>39</v>
      </c>
      <c r="H13">
        <v>0</v>
      </c>
      <c r="I13" s="7">
        <v>200000</v>
      </c>
      <c r="J13" s="7">
        <v>400000</v>
      </c>
      <c r="L13" s="7">
        <v>2484</v>
      </c>
    </row>
    <row r="14" spans="1:13" x14ac:dyDescent="0.35">
      <c r="B14" t="s">
        <v>42</v>
      </c>
      <c r="D14" s="4"/>
      <c r="E14" s="7">
        <v>18000</v>
      </c>
      <c r="L14" s="7">
        <v>18000</v>
      </c>
    </row>
    <row r="15" spans="1:13" x14ac:dyDescent="0.35">
      <c r="D15" s="4"/>
      <c r="E15" s="7"/>
    </row>
    <row r="16" spans="1:13" ht="15.5" x14ac:dyDescent="0.35">
      <c r="D16" s="10">
        <f>SUM(D3:D13)</f>
        <v>1808287</v>
      </c>
      <c r="E16" s="10">
        <f>SUM(E3:E14)-E7</f>
        <v>2184355</v>
      </c>
    </row>
    <row r="17" spans="2:5" x14ac:dyDescent="0.35">
      <c r="E17" s="7">
        <v>-2186839</v>
      </c>
    </row>
    <row r="19" spans="2:5" x14ac:dyDescent="0.35">
      <c r="D19">
        <v>108450</v>
      </c>
    </row>
    <row r="20" spans="2:5" x14ac:dyDescent="0.35">
      <c r="D20">
        <v>-90450</v>
      </c>
    </row>
    <row r="21" spans="2:5" x14ac:dyDescent="0.35">
      <c r="D21">
        <f>D19+D20</f>
        <v>18000</v>
      </c>
    </row>
    <row r="25" spans="2:5" x14ac:dyDescent="0.35">
      <c r="B25" t="s">
        <v>43</v>
      </c>
      <c r="C25">
        <v>260000</v>
      </c>
    </row>
    <row r="26" spans="2:5" x14ac:dyDescent="0.35">
      <c r="B26" t="s">
        <v>44</v>
      </c>
      <c r="C26">
        <v>29100</v>
      </c>
      <c r="D26">
        <v>2400</v>
      </c>
      <c r="E26">
        <v>18000</v>
      </c>
    </row>
    <row r="27" spans="2:5" x14ac:dyDescent="0.35">
      <c r="B27" t="s">
        <v>45</v>
      </c>
      <c r="C27">
        <v>60000</v>
      </c>
    </row>
    <row r="28" spans="2:5" x14ac:dyDescent="0.35">
      <c r="B28" t="s">
        <v>46</v>
      </c>
      <c r="C28">
        <v>41400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8773-1190-47C5-8FB7-9EC47521C67B}">
  <dimension ref="A1:R31"/>
  <sheetViews>
    <sheetView topLeftCell="A16" workbookViewId="0">
      <selection activeCell="L16" sqref="L16"/>
    </sheetView>
  </sheetViews>
  <sheetFormatPr defaultRowHeight="14.5" x14ac:dyDescent="0.35"/>
  <cols>
    <col min="2" max="2" width="45.26953125" bestFit="1" customWidth="1"/>
    <col min="7" max="7" width="14" customWidth="1"/>
  </cols>
  <sheetData>
    <row r="1" spans="1:18" x14ac:dyDescent="0.35">
      <c r="D1">
        <f>SUM(D3:D31)</f>
        <v>1130505.1000000001</v>
      </c>
    </row>
    <row r="2" spans="1:18" x14ac:dyDescent="0.35">
      <c r="A2">
        <v>12</v>
      </c>
      <c r="C2" s="17" t="s">
        <v>56</v>
      </c>
      <c r="D2" s="17" t="s">
        <v>57</v>
      </c>
      <c r="E2" s="17" t="s">
        <v>58</v>
      </c>
      <c r="G2" s="17" t="s">
        <v>61</v>
      </c>
      <c r="H2">
        <f>1107216-10000</f>
        <v>1097216</v>
      </c>
      <c r="I2" s="15" t="s">
        <v>5</v>
      </c>
      <c r="J2" s="15"/>
    </row>
    <row r="3" spans="1:18" x14ac:dyDescent="0.35">
      <c r="B3" s="17" t="s">
        <v>43</v>
      </c>
      <c r="C3">
        <v>35000</v>
      </c>
      <c r="D3" s="18">
        <f>(C3*A2)-('ITR Cal'!E3*10%)</f>
        <v>329071.09999999998</v>
      </c>
      <c r="F3" t="s">
        <v>5</v>
      </c>
      <c r="H3" s="15">
        <v>250000</v>
      </c>
      <c r="I3" s="15">
        <v>0</v>
      </c>
      <c r="J3" s="15">
        <v>0</v>
      </c>
    </row>
    <row r="4" spans="1:18" x14ac:dyDescent="0.35">
      <c r="B4" t="s">
        <v>5</v>
      </c>
      <c r="H4" s="15">
        <v>250000</v>
      </c>
      <c r="I4" s="16">
        <v>0.05</v>
      </c>
      <c r="J4" s="15">
        <f>H4*I4</f>
        <v>12500</v>
      </c>
    </row>
    <row r="5" spans="1:18" x14ac:dyDescent="0.35">
      <c r="A5" s="20" t="s">
        <v>67</v>
      </c>
      <c r="B5" s="20" t="s">
        <v>64</v>
      </c>
      <c r="D5">
        <v>41400</v>
      </c>
      <c r="H5" s="15">
        <v>500000</v>
      </c>
      <c r="I5" s="16">
        <v>0.2</v>
      </c>
      <c r="J5" s="15">
        <f>H5*I5</f>
        <v>100000</v>
      </c>
    </row>
    <row r="6" spans="1:18" x14ac:dyDescent="0.35">
      <c r="B6" t="s">
        <v>50</v>
      </c>
      <c r="C6">
        <v>500</v>
      </c>
      <c r="D6">
        <v>0</v>
      </c>
      <c r="H6" s="15">
        <f>H2-1000000</f>
        <v>97216</v>
      </c>
      <c r="I6" s="16">
        <v>0.3</v>
      </c>
      <c r="J6" s="15">
        <f>H6*I6</f>
        <v>29164.799999999999</v>
      </c>
    </row>
    <row r="7" spans="1:18" x14ac:dyDescent="0.35">
      <c r="B7" t="s">
        <v>51</v>
      </c>
      <c r="C7">
        <v>500</v>
      </c>
      <c r="D7">
        <v>0</v>
      </c>
      <c r="H7" s="15"/>
      <c r="I7" s="15"/>
      <c r="J7" s="15"/>
    </row>
    <row r="8" spans="1:18" x14ac:dyDescent="0.35">
      <c r="B8" t="s">
        <v>66</v>
      </c>
      <c r="C8">
        <v>25000</v>
      </c>
      <c r="D8">
        <v>0</v>
      </c>
      <c r="H8" s="15"/>
      <c r="I8" s="15" t="s">
        <v>47</v>
      </c>
      <c r="J8" s="19">
        <f>SUM(J4:J6)</f>
        <v>141664.79999999999</v>
      </c>
      <c r="K8" s="18">
        <f>J8-P16</f>
        <v>-219205.2</v>
      </c>
      <c r="R8">
        <f>2474/6</f>
        <v>412.33333333333331</v>
      </c>
    </row>
    <row r="9" spans="1:18" x14ac:dyDescent="0.35">
      <c r="B9" t="s">
        <v>52</v>
      </c>
      <c r="C9">
        <v>500</v>
      </c>
      <c r="D9">
        <v>0</v>
      </c>
      <c r="H9" s="15"/>
      <c r="I9" s="16">
        <v>0.04</v>
      </c>
      <c r="J9" s="19">
        <f>J8*I9</f>
        <v>5666.5919999999996</v>
      </c>
      <c r="R9">
        <f>505*6</f>
        <v>3030</v>
      </c>
    </row>
    <row r="10" spans="1:18" x14ac:dyDescent="0.35">
      <c r="B10" t="s">
        <v>65</v>
      </c>
      <c r="C10">
        <v>1600</v>
      </c>
      <c r="D10">
        <f>C10*A2</f>
        <v>19200</v>
      </c>
      <c r="I10" t="s">
        <v>5</v>
      </c>
    </row>
    <row r="11" spans="1:18" x14ac:dyDescent="0.35">
      <c r="I11" t="s">
        <v>5</v>
      </c>
    </row>
    <row r="12" spans="1:18" x14ac:dyDescent="0.35">
      <c r="K12" t="s">
        <v>73</v>
      </c>
      <c r="L12">
        <v>52500</v>
      </c>
      <c r="N12">
        <v>2672343</v>
      </c>
      <c r="P12">
        <v>113572</v>
      </c>
    </row>
    <row r="13" spans="1:18" x14ac:dyDescent="0.35">
      <c r="B13" s="17" t="s">
        <v>63</v>
      </c>
      <c r="D13">
        <v>300</v>
      </c>
      <c r="K13" t="s">
        <v>38</v>
      </c>
      <c r="L13">
        <v>150000</v>
      </c>
      <c r="N13">
        <v>201000</v>
      </c>
      <c r="P13">
        <v>236323</v>
      </c>
    </row>
    <row r="14" spans="1:18" x14ac:dyDescent="0.35">
      <c r="B14" t="s">
        <v>53</v>
      </c>
      <c r="C14">
        <v>200</v>
      </c>
      <c r="D14">
        <f>C14*A2</f>
        <v>2400</v>
      </c>
      <c r="K14" t="s">
        <v>34</v>
      </c>
      <c r="L14">
        <v>75000</v>
      </c>
      <c r="N14">
        <f>SUM(N12:N13)</f>
        <v>2873343</v>
      </c>
      <c r="P14">
        <v>2375</v>
      </c>
    </row>
    <row r="15" spans="1:18" x14ac:dyDescent="0.35">
      <c r="B15" t="s">
        <v>54</v>
      </c>
      <c r="C15">
        <v>600</v>
      </c>
      <c r="D15">
        <f>C15*A2</f>
        <v>7200</v>
      </c>
      <c r="F15">
        <f>29100-9600</f>
        <v>19500</v>
      </c>
      <c r="K15" t="s">
        <v>27</v>
      </c>
      <c r="L15">
        <v>50000</v>
      </c>
      <c r="P15">
        <v>8600</v>
      </c>
    </row>
    <row r="16" spans="1:18" x14ac:dyDescent="0.35">
      <c r="B16" t="s">
        <v>42</v>
      </c>
      <c r="C16" t="s">
        <v>5</v>
      </c>
      <c r="D16" t="s">
        <v>5</v>
      </c>
      <c r="K16" t="s">
        <v>0</v>
      </c>
      <c r="L16">
        <v>296000</v>
      </c>
      <c r="P16" s="17">
        <f>SUM(P12:P15)</f>
        <v>360870</v>
      </c>
    </row>
    <row r="17" spans="2:14" x14ac:dyDescent="0.35">
      <c r="D17">
        <v>18000</v>
      </c>
      <c r="K17" t="s">
        <v>74</v>
      </c>
      <c r="L17">
        <v>18294</v>
      </c>
    </row>
    <row r="18" spans="2:14" x14ac:dyDescent="0.35">
      <c r="B18" s="17" t="s">
        <v>55</v>
      </c>
      <c r="D18">
        <v>60000</v>
      </c>
      <c r="K18" t="s">
        <v>1</v>
      </c>
      <c r="L18">
        <v>60000</v>
      </c>
    </row>
    <row r="19" spans="2:14" x14ac:dyDescent="0.35">
      <c r="K19" t="s">
        <v>75</v>
      </c>
      <c r="L19" s="1">
        <v>34900</v>
      </c>
      <c r="N19" s="17">
        <f>N14-L20</f>
        <v>2136649</v>
      </c>
    </row>
    <row r="20" spans="2:14" x14ac:dyDescent="0.35">
      <c r="B20" s="17" t="s">
        <v>60</v>
      </c>
      <c r="D20">
        <v>2484</v>
      </c>
      <c r="E20" s="18">
        <f>SUM(D3:D20)</f>
        <v>480055.1</v>
      </c>
      <c r="L20" s="17">
        <f>SUM(L12:L19)</f>
        <v>736694</v>
      </c>
    </row>
    <row r="22" spans="2:14" x14ac:dyDescent="0.35">
      <c r="B22" s="17" t="s">
        <v>46</v>
      </c>
      <c r="F22" t="s">
        <v>62</v>
      </c>
    </row>
    <row r="23" spans="2:14" x14ac:dyDescent="0.35">
      <c r="B23" s="17"/>
    </row>
    <row r="24" spans="2:14" x14ac:dyDescent="0.35">
      <c r="B24" s="17" t="s">
        <v>59</v>
      </c>
    </row>
    <row r="25" spans="2:14" x14ac:dyDescent="0.35">
      <c r="B25" t="s">
        <v>38</v>
      </c>
      <c r="D25">
        <v>150000</v>
      </c>
    </row>
    <row r="26" spans="2:14" x14ac:dyDescent="0.35">
      <c r="B26" t="s">
        <v>35</v>
      </c>
      <c r="D26">
        <v>90450</v>
      </c>
    </row>
    <row r="27" spans="2:14" x14ac:dyDescent="0.35">
      <c r="B27" t="s">
        <v>36</v>
      </c>
      <c r="D27">
        <v>50000</v>
      </c>
    </row>
    <row r="28" spans="2:14" x14ac:dyDescent="0.35">
      <c r="B28" t="s">
        <v>34</v>
      </c>
      <c r="D28">
        <v>25000</v>
      </c>
    </row>
    <row r="29" spans="2:14" x14ac:dyDescent="0.35">
      <c r="B29" t="s">
        <v>48</v>
      </c>
      <c r="D29">
        <v>125000</v>
      </c>
    </row>
    <row r="30" spans="2:14" x14ac:dyDescent="0.35">
      <c r="B30" t="s">
        <v>39</v>
      </c>
      <c r="D30">
        <v>200000</v>
      </c>
    </row>
    <row r="31" spans="2:14" x14ac:dyDescent="0.35">
      <c r="B31" t="s">
        <v>37</v>
      </c>
      <c r="D31">
        <v>10000</v>
      </c>
      <c r="E31">
        <f>SUM(D25:D31)</f>
        <v>650450</v>
      </c>
    </row>
  </sheetData>
  <hyperlinks>
    <hyperlink ref="B5" r:id="rId1" xr:uid="{772230FD-BD87-43DD-BE2B-47EA4EA2BD2A}"/>
    <hyperlink ref="A5" r:id="rId2" xr:uid="{38951136-572B-4F0B-B7AC-470B9F206B6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F695-7381-4E73-A743-6E736A33B216}">
  <dimension ref="A2:D11"/>
  <sheetViews>
    <sheetView workbookViewId="0">
      <selection activeCell="B4" sqref="B4"/>
    </sheetView>
  </sheetViews>
  <sheetFormatPr defaultRowHeight="14.5" x14ac:dyDescent="0.35"/>
  <cols>
    <col min="3" max="3" width="15.26953125" customWidth="1"/>
  </cols>
  <sheetData>
    <row r="2" spans="1:4" x14ac:dyDescent="0.35">
      <c r="B2" s="13" t="s">
        <v>0</v>
      </c>
      <c r="C2" s="6" t="s">
        <v>32</v>
      </c>
      <c r="D2" s="6" t="s">
        <v>40</v>
      </c>
    </row>
    <row r="3" spans="1:4" x14ac:dyDescent="0.35">
      <c r="B3" s="13" t="s">
        <v>1</v>
      </c>
      <c r="C3" s="6">
        <v>60000</v>
      </c>
      <c r="D3" s="6">
        <v>60000</v>
      </c>
    </row>
    <row r="4" spans="1:4" x14ac:dyDescent="0.35">
      <c r="B4" s="13" t="s">
        <v>30</v>
      </c>
      <c r="C4" s="6">
        <v>29100</v>
      </c>
      <c r="D4" s="7">
        <v>29100</v>
      </c>
    </row>
    <row r="5" spans="1:4" ht="87" x14ac:dyDescent="0.35">
      <c r="B5" s="14" t="s">
        <v>33</v>
      </c>
      <c r="C5" s="8">
        <v>41400</v>
      </c>
      <c r="D5" s="7">
        <v>41400</v>
      </c>
    </row>
    <row r="6" spans="1:4" x14ac:dyDescent="0.35">
      <c r="A6" s="1"/>
    </row>
    <row r="11" spans="1:4" x14ac:dyDescent="0.35">
      <c r="A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0C23-F2A4-4A71-B1AC-1A1451401DA0}">
  <dimension ref="C1:N19"/>
  <sheetViews>
    <sheetView tabSelected="1" workbookViewId="0">
      <selection activeCell="K11" sqref="K11"/>
    </sheetView>
  </sheetViews>
  <sheetFormatPr defaultRowHeight="14.5" x14ac:dyDescent="0.35"/>
  <cols>
    <col min="12" max="12" width="10.6328125" customWidth="1"/>
  </cols>
  <sheetData>
    <row r="1" spans="3:14" x14ac:dyDescent="0.35">
      <c r="K1" s="22" t="s">
        <v>79</v>
      </c>
    </row>
    <row r="2" spans="3:14" x14ac:dyDescent="0.35">
      <c r="C2">
        <v>250000</v>
      </c>
      <c r="G2" t="s">
        <v>38</v>
      </c>
      <c r="H2">
        <v>150000</v>
      </c>
      <c r="K2" t="s">
        <v>78</v>
      </c>
      <c r="L2" s="21">
        <v>909289</v>
      </c>
      <c r="M2">
        <f>L2*10%</f>
        <v>90928.900000000009</v>
      </c>
      <c r="N2" t="s">
        <v>77</v>
      </c>
    </row>
    <row r="3" spans="3:14" x14ac:dyDescent="0.35">
      <c r="C3">
        <v>400000</v>
      </c>
      <c r="G3" t="s">
        <v>34</v>
      </c>
      <c r="H3">
        <v>50000</v>
      </c>
      <c r="K3">
        <v>38000</v>
      </c>
      <c r="L3">
        <f>12*K3</f>
        <v>456000</v>
      </c>
      <c r="M3">
        <f>L3-M2</f>
        <v>365071.1</v>
      </c>
    </row>
    <row r="4" spans="3:14" x14ac:dyDescent="0.35">
      <c r="C4">
        <v>125000</v>
      </c>
      <c r="G4" t="s">
        <v>48</v>
      </c>
      <c r="H4">
        <v>125000</v>
      </c>
    </row>
    <row r="5" spans="3:14" x14ac:dyDescent="0.35">
      <c r="C5">
        <v>300000</v>
      </c>
      <c r="G5" t="s">
        <v>49</v>
      </c>
      <c r="H5">
        <v>100000</v>
      </c>
    </row>
    <row r="6" spans="3:14" x14ac:dyDescent="0.35">
      <c r="C6">
        <f>SUM(C2:C5)</f>
        <v>1075000</v>
      </c>
      <c r="D6" s="2">
        <v>0.3</v>
      </c>
      <c r="E6">
        <f>C6*D6</f>
        <v>322500</v>
      </c>
      <c r="G6" t="s">
        <v>39</v>
      </c>
      <c r="H6">
        <v>400000</v>
      </c>
    </row>
    <row r="7" spans="3:14" x14ac:dyDescent="0.35">
      <c r="H7">
        <f>SUM(H2:H6)</f>
        <v>825000</v>
      </c>
      <c r="I7" s="2">
        <v>0.3</v>
      </c>
      <c r="J7">
        <f>H7*I7</f>
        <v>247500</v>
      </c>
    </row>
    <row r="11" spans="3:14" x14ac:dyDescent="0.35">
      <c r="C11">
        <v>12</v>
      </c>
      <c r="D11">
        <v>800</v>
      </c>
      <c r="E11">
        <v>9600</v>
      </c>
    </row>
    <row r="13" spans="3:14" x14ac:dyDescent="0.35">
      <c r="D13" t="s">
        <v>68</v>
      </c>
      <c r="E13">
        <v>2400</v>
      </c>
      <c r="G13">
        <v>29100</v>
      </c>
      <c r="I13" t="s">
        <v>72</v>
      </c>
      <c r="J13">
        <v>40000</v>
      </c>
    </row>
    <row r="14" spans="3:14" x14ac:dyDescent="0.35">
      <c r="D14" t="s">
        <v>69</v>
      </c>
      <c r="E14">
        <v>18000</v>
      </c>
      <c r="G14">
        <v>9600</v>
      </c>
    </row>
    <row r="15" spans="3:14" x14ac:dyDescent="0.35">
      <c r="D15" t="s">
        <v>70</v>
      </c>
      <c r="E15">
        <f>12*900</f>
        <v>10800</v>
      </c>
      <c r="G15">
        <v>41400</v>
      </c>
    </row>
    <row r="16" spans="3:14" x14ac:dyDescent="0.35">
      <c r="D16" t="s">
        <v>71</v>
      </c>
      <c r="E16">
        <f>2000*12</f>
        <v>24000</v>
      </c>
      <c r="G16" s="17">
        <f>SUM(G13:G15)</f>
        <v>80100</v>
      </c>
    </row>
    <row r="17" spans="3:7" x14ac:dyDescent="0.35">
      <c r="E17">
        <f>SUM(E13:E16)</f>
        <v>55200</v>
      </c>
      <c r="G17">
        <f>G16-SUM(E13:E16)</f>
        <v>24900</v>
      </c>
    </row>
    <row r="19" spans="3:7" x14ac:dyDescent="0.35">
      <c r="C19">
        <f>9600/12</f>
        <v>800</v>
      </c>
      <c r="E19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ITR Cal</vt:lpstr>
      <vt:lpstr>Deduction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Gavali, Amol S</dc:creator>
  <cp:lastModifiedBy>Gavali, Amol S</cp:lastModifiedBy>
  <dcterms:created xsi:type="dcterms:W3CDTF">2022-07-22T04:50:24Z</dcterms:created>
  <dcterms:modified xsi:type="dcterms:W3CDTF">2022-08-25T06:45:32Z</dcterms:modified>
</cp:coreProperties>
</file>